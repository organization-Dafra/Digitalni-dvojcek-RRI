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8.10\Podatki\Razvoj\03 - Dejan\Projekti\2024\RRI\"/>
    </mc:Choice>
  </mc:AlternateContent>
  <xr:revisionPtr revIDLastSave="0" documentId="13_ncr:1_{7D858387-C569-44C9-B359-6D3F5343C481}" xr6:coauthVersionLast="47" xr6:coauthVersionMax="47" xr10:uidLastSave="{00000000-0000-0000-0000-000000000000}"/>
  <bookViews>
    <workbookView xWindow="-120" yWindow="-120" windowWidth="29040" windowHeight="17520" xr2:uid="{BEDF488E-CED7-403E-9136-33E8EE1D6BB1}"/>
  </bookViews>
  <sheets>
    <sheet name="List1" sheetId="1" r:id="rId1"/>
    <sheet name="Mikro-ste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F12" i="1" s="1"/>
  <c r="E11" i="1"/>
  <c r="F11" i="1" s="1"/>
  <c r="D14" i="1"/>
  <c r="E14" i="1" s="1"/>
  <c r="F14" i="1" s="1"/>
  <c r="E17" i="1"/>
  <c r="F17" i="1" s="1"/>
</calcChain>
</file>

<file path=xl/sharedStrings.xml><?xml version="1.0" encoding="utf-8"?>
<sst xmlns="http://schemas.openxmlformats.org/spreadsheetml/2006/main" count="17" uniqueCount="15">
  <si>
    <t>Motor + Vreteno Igus</t>
  </si>
  <si>
    <t>Dinamična aksialna sila (N):</t>
  </si>
  <si>
    <t>Statična aksialna sila (N)</t>
  </si>
  <si>
    <t>Hod (mm)</t>
  </si>
  <si>
    <t>Hitrost (mm/s)</t>
  </si>
  <si>
    <t>Resolucija (mm)</t>
  </si>
  <si>
    <t>Resolucija (pulzov/obrat)</t>
  </si>
  <si>
    <t>Korak navoja vretena (mm)</t>
  </si>
  <si>
    <t>Velikost</t>
  </si>
  <si>
    <t>Nema11 (28mm)</t>
  </si>
  <si>
    <r>
      <t xml:space="preserve">1 prenos
(nastavljiva enota)
 8 </t>
    </r>
    <r>
      <rPr>
        <sz val="11"/>
        <color theme="1"/>
        <rFont val="Calibri"/>
        <family val="2"/>
        <charset val="238"/>
      </rPr>
      <t>° (</t>
    </r>
    <r>
      <rPr>
        <sz val="11"/>
        <color theme="1"/>
        <rFont val="Calibri"/>
        <family val="2"/>
        <charset val="238"/>
        <scheme val="minor"/>
      </rPr>
      <t>razmerje 1:7)</t>
    </r>
  </si>
  <si>
    <r>
      <t xml:space="preserve">2 prenos (opcija)
(nastavljiva enota)
 8 </t>
    </r>
    <r>
      <rPr>
        <sz val="11"/>
        <color theme="1"/>
        <rFont val="Calibri"/>
        <family val="2"/>
        <charset val="238"/>
      </rPr>
      <t>° (</t>
    </r>
    <r>
      <rPr>
        <sz val="11"/>
        <color theme="1"/>
        <rFont val="Calibri"/>
        <family val="2"/>
        <charset val="238"/>
        <scheme val="minor"/>
      </rPr>
      <t>razmerje 1:7)</t>
    </r>
  </si>
  <si>
    <t>MikroStep</t>
  </si>
  <si>
    <t>Microsteps per full-step</t>
  </si>
  <si>
    <t>Torque Multiplier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</si>
</sst>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8</xdr:row>
      <xdr:rowOff>0</xdr:rowOff>
    </xdr:from>
    <xdr:to>
      <xdr:col>16</xdr:col>
      <xdr:colOff>476250</xdr:colOff>
      <xdr:row>32</xdr:row>
      <xdr:rowOff>133261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CA3AD9FE-43C7-A73F-7C8D-F2B44FA29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6625" y="1524000"/>
          <a:ext cx="5972175" cy="5086261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33</xdr:row>
      <xdr:rowOff>47625</xdr:rowOff>
    </xdr:from>
    <xdr:to>
      <xdr:col>17</xdr:col>
      <xdr:colOff>38595</xdr:colOff>
      <xdr:row>47</xdr:row>
      <xdr:rowOff>123825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CC03DA22-D306-8893-A5EE-78BEF5096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9950" y="6715125"/>
          <a:ext cx="6210795" cy="2743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7</xdr:col>
      <xdr:colOff>228600</xdr:colOff>
      <xdr:row>33</xdr:row>
      <xdr:rowOff>123825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0C8D1EA-383A-1B4E-F9A7-CBA7086F3004}"/>
            </a:ext>
          </a:extLst>
        </xdr:cNvPr>
        <xdr:cNvSpPr>
          <a:spLocks noChangeAspect="1" noChangeArrowheads="1"/>
        </xdr:cNvSpPr>
      </xdr:nvSpPr>
      <xdr:spPr bwMode="auto">
        <a:xfrm>
          <a:off x="2990850" y="4762500"/>
          <a:ext cx="4533900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540A464-CDD4-8E7E-E1A0-8589A4F81C97}"/>
            </a:ext>
          </a:extLst>
        </xdr:cNvPr>
        <xdr:cNvSpPr>
          <a:spLocks noChangeAspect="1" noChangeArrowheads="1"/>
        </xdr:cNvSpPr>
      </xdr:nvSpPr>
      <xdr:spPr bwMode="auto">
        <a:xfrm>
          <a:off x="29908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495300</xdr:colOff>
      <xdr:row>19</xdr:row>
      <xdr:rowOff>171450</xdr:rowOff>
    </xdr:from>
    <xdr:to>
      <xdr:col>5</xdr:col>
      <xdr:colOff>257175</xdr:colOff>
      <xdr:row>30</xdr:row>
      <xdr:rowOff>104775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F2A28983-6061-9CF5-39CB-07A76B7FD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900" y="4171950"/>
          <a:ext cx="4533900" cy="2028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19050</xdr:rowOff>
    </xdr:from>
    <xdr:to>
      <xdr:col>4</xdr:col>
      <xdr:colOff>190500</xdr:colOff>
      <xdr:row>21</xdr:row>
      <xdr:rowOff>142875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8F6248AC-4446-44D7-8534-87FF0AED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5050"/>
          <a:ext cx="4533900" cy="2028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036F-30CA-4B4C-81B6-8DF778D3C698}">
  <dimension ref="C9:T26"/>
  <sheetViews>
    <sheetView tabSelected="1" topLeftCell="A7" workbookViewId="0">
      <selection activeCell="D19" sqref="D19"/>
    </sheetView>
  </sheetViews>
  <sheetFormatPr defaultRowHeight="15" x14ac:dyDescent="0.25"/>
  <cols>
    <col min="3" max="3" width="26.5703125" customWidth="1"/>
    <col min="4" max="4" width="16.28515625" style="1" customWidth="1"/>
    <col min="5" max="6" width="19.5703125" style="1" customWidth="1"/>
  </cols>
  <sheetData>
    <row r="9" spans="3:20" ht="45" x14ac:dyDescent="0.25">
      <c r="C9" s="2" t="s">
        <v>0</v>
      </c>
      <c r="E9" s="3" t="s">
        <v>10</v>
      </c>
      <c r="F9" s="3" t="s">
        <v>11</v>
      </c>
      <c r="S9" s="6" t="s">
        <v>13</v>
      </c>
      <c r="T9" s="6" t="s">
        <v>14</v>
      </c>
    </row>
    <row r="10" spans="3:20" x14ac:dyDescent="0.25">
      <c r="C10" t="s">
        <v>8</v>
      </c>
      <c r="D10" s="1" t="s">
        <v>9</v>
      </c>
      <c r="S10" s="7">
        <v>1</v>
      </c>
      <c r="T10" s="8">
        <v>100</v>
      </c>
    </row>
    <row r="11" spans="3:20" x14ac:dyDescent="0.25">
      <c r="C11" t="s">
        <v>1</v>
      </c>
      <c r="D11" s="1">
        <v>50</v>
      </c>
      <c r="E11" s="1">
        <f>D11*7*(IF(D18=1, 1, VLOOKUP(D18, S10:T18, 2, FALSE)/100))</f>
        <v>350</v>
      </c>
      <c r="F11" s="1">
        <f>E11*7</f>
        <v>2450</v>
      </c>
      <c r="S11" s="7">
        <v>2</v>
      </c>
      <c r="T11" s="8">
        <v>70.709999999999994</v>
      </c>
    </row>
    <row r="12" spans="3:20" x14ac:dyDescent="0.25">
      <c r="C12" t="s">
        <v>2</v>
      </c>
      <c r="D12" s="1">
        <v>300</v>
      </c>
      <c r="E12" s="1">
        <f>D12*7*(IF(D18=1, 1, VLOOKUP(D18, S10:T18, 2, FALSE)/100))</f>
        <v>2100</v>
      </c>
      <c r="F12" s="1">
        <f>E12*7</f>
        <v>14700</v>
      </c>
      <c r="S12" s="7">
        <v>4</v>
      </c>
      <c r="T12" s="8">
        <v>38.270000000000003</v>
      </c>
    </row>
    <row r="13" spans="3:20" x14ac:dyDescent="0.25">
      <c r="C13" t="s">
        <v>6</v>
      </c>
      <c r="D13" s="1">
        <v>200</v>
      </c>
      <c r="S13" s="7">
        <v>8</v>
      </c>
      <c r="T13" s="8">
        <v>19.510000000000002</v>
      </c>
    </row>
    <row r="14" spans="3:20" x14ac:dyDescent="0.25">
      <c r="C14" t="s">
        <v>5</v>
      </c>
      <c r="D14" s="1">
        <f>D15/D13*D18</f>
        <v>1.2699999999999999E-2</v>
      </c>
      <c r="E14" s="4">
        <f>D14/7</f>
        <v>1.8142857142857142E-3</v>
      </c>
      <c r="F14" s="4">
        <f>E14/7</f>
        <v>2.5918367346938775E-4</v>
      </c>
      <c r="S14" s="7">
        <v>16</v>
      </c>
      <c r="T14" s="8">
        <v>9.8000000000000007</v>
      </c>
    </row>
    <row r="15" spans="3:20" x14ac:dyDescent="0.25">
      <c r="C15" t="s">
        <v>7</v>
      </c>
      <c r="D15" s="1">
        <v>2.54</v>
      </c>
      <c r="S15" s="7">
        <v>32</v>
      </c>
      <c r="T15" s="8">
        <v>4.91</v>
      </c>
    </row>
    <row r="16" spans="3:20" x14ac:dyDescent="0.25">
      <c r="C16" t="s">
        <v>3</v>
      </c>
      <c r="D16" s="1">
        <v>20</v>
      </c>
      <c r="S16" s="7">
        <v>64</v>
      </c>
      <c r="T16" s="8">
        <v>2.4500000000000002</v>
      </c>
    </row>
    <row r="17" spans="3:20" x14ac:dyDescent="0.25">
      <c r="C17" t="s">
        <v>4</v>
      </c>
      <c r="D17" s="1">
        <v>40</v>
      </c>
      <c r="E17" s="5">
        <f>D17/7</f>
        <v>5.7142857142857144</v>
      </c>
      <c r="F17" s="5">
        <f>E17/7</f>
        <v>0.81632653061224492</v>
      </c>
      <c r="S17" s="7">
        <v>128</v>
      </c>
      <c r="T17" s="8">
        <v>1.23</v>
      </c>
    </row>
    <row r="18" spans="3:20" x14ac:dyDescent="0.25">
      <c r="C18" t="s">
        <v>12</v>
      </c>
      <c r="D18" s="1">
        <v>1</v>
      </c>
      <c r="S18" s="7">
        <v>256</v>
      </c>
      <c r="T18" s="8">
        <v>0.61</v>
      </c>
    </row>
    <row r="24" spans="3:20" x14ac:dyDescent="0.25">
      <c r="D24"/>
    </row>
    <row r="26" spans="3:20" x14ac:dyDescent="0.25">
      <c r="D2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E1CE-F94A-424C-BA92-277E500A42B1}">
  <dimension ref="A1:B10"/>
  <sheetViews>
    <sheetView workbookViewId="0">
      <selection sqref="A1:B10"/>
    </sheetView>
  </sheetViews>
  <sheetFormatPr defaultRowHeight="15" x14ac:dyDescent="0.25"/>
  <cols>
    <col min="1" max="1" width="19.42578125" customWidth="1"/>
    <col min="2" max="2" width="27.42578125" customWidth="1"/>
  </cols>
  <sheetData>
    <row r="1" spans="1:2" ht="30" x14ac:dyDescent="0.25">
      <c r="A1" s="6" t="s">
        <v>13</v>
      </c>
      <c r="B1" s="6" t="s">
        <v>14</v>
      </c>
    </row>
    <row r="2" spans="1:2" x14ac:dyDescent="0.25">
      <c r="A2" s="7">
        <v>1</v>
      </c>
      <c r="B2" s="8">
        <v>100</v>
      </c>
    </row>
    <row r="3" spans="1:2" x14ac:dyDescent="0.25">
      <c r="A3" s="7">
        <v>2</v>
      </c>
      <c r="B3" s="8">
        <v>70.709999999999994</v>
      </c>
    </row>
    <row r="4" spans="1:2" x14ac:dyDescent="0.25">
      <c r="A4" s="7">
        <v>4</v>
      </c>
      <c r="B4" s="8">
        <v>38.270000000000003</v>
      </c>
    </row>
    <row r="5" spans="1:2" x14ac:dyDescent="0.25">
      <c r="A5" s="7">
        <v>8</v>
      </c>
      <c r="B5" s="8">
        <v>19.510000000000002</v>
      </c>
    </row>
    <row r="6" spans="1:2" x14ac:dyDescent="0.25">
      <c r="A6" s="7">
        <v>16</v>
      </c>
      <c r="B6" s="8">
        <v>9.8000000000000007</v>
      </c>
    </row>
    <row r="7" spans="1:2" x14ac:dyDescent="0.25">
      <c r="A7" s="7">
        <v>32</v>
      </c>
      <c r="B7" s="8">
        <v>4.91</v>
      </c>
    </row>
    <row r="8" spans="1:2" x14ac:dyDescent="0.25">
      <c r="A8" s="7">
        <v>64</v>
      </c>
      <c r="B8" s="8">
        <v>2.4500000000000002</v>
      </c>
    </row>
    <row r="9" spans="1:2" x14ac:dyDescent="0.25">
      <c r="A9" s="7">
        <v>128</v>
      </c>
      <c r="B9" s="8">
        <v>1.23</v>
      </c>
    </row>
    <row r="10" spans="1:2" x14ac:dyDescent="0.25">
      <c r="A10" s="7">
        <v>256</v>
      </c>
      <c r="B10" s="8">
        <v>0.61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Mikro-step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Iztok Satler</dc:creator>
  <cp:lastModifiedBy>Dejan Rožič</cp:lastModifiedBy>
  <dcterms:created xsi:type="dcterms:W3CDTF">2025-01-22T06:46:11Z</dcterms:created>
  <dcterms:modified xsi:type="dcterms:W3CDTF">2025-01-22T12:57:45Z</dcterms:modified>
</cp:coreProperties>
</file>